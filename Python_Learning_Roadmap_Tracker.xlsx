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🗺 Roadmap Overview" sheetId="1" state="visible" r:id="rId3"/>
    <sheet name="👥 Learner Tracker" sheetId="2" state="visible" r:id="rId4"/>
    <sheet name="📚 Module Detail" sheetId="3" state="visible" r:id="rId5"/>
    <sheet name="📅 Weekly Schedule" sheetId="4" state="visible" r:id="rId6"/>
    <sheet name="🏆 Checkpoints" sheetId="5" state="visible" r:id="rId7"/>
    <sheet name="🚀 Capstone Projec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<sst xmlns="http://schemas.openxmlformats.org/spreadsheetml/2006/main" count="385" uniqueCount="251">
  <si>
    <t xml:space="preserve">🐍  Python Learning Roadmap — Group Tracker</t>
  </si>
  <si>
    <t xml:space="preserve">Track every learner's progress across all 15 modules | Update Status dropdowns as you go</t>
  </si>
  <si>
    <t xml:space="preserve">#</t>
  </si>
  <si>
    <t xml:space="preserve">MOD</t>
  </si>
  <si>
    <t xml:space="preserve">Module Title</t>
  </si>
  <si>
    <t xml:space="preserve">Level</t>
  </si>
  <si>
    <t xml:space="preserve">Duration</t>
  </si>
  <si>
    <t xml:space="preserve">Topics (count)</t>
  </si>
  <si>
    <t xml:space="preserve">Status</t>
  </si>
  <si>
    <t xml:space="preserve">Score /100</t>
  </si>
  <si>
    <t xml:space="preserve">Time Spent (h)</t>
  </si>
  <si>
    <t xml:space="preserve">Notes / Blockers</t>
  </si>
  <si>
    <t xml:space="preserve">01</t>
  </si>
  <si>
    <t xml:space="preserve">Python Setup &amp; First Programs</t>
  </si>
  <si>
    <t xml:space="preserve">Beginner</t>
  </si>
  <si>
    <t xml:space="preserve">1 week</t>
  </si>
  <si>
    <t xml:space="preserve">Not Started</t>
  </si>
  <si>
    <t xml:space="preserve">02</t>
  </si>
  <si>
    <t xml:space="preserve">Data Types &amp; Operations</t>
  </si>
  <si>
    <t xml:space="preserve">03</t>
  </si>
  <si>
    <t xml:space="preserve">Conditionals &amp; Decision Making</t>
  </si>
  <si>
    <t xml:space="preserve">04</t>
  </si>
  <si>
    <t xml:space="preserve">Loops &amp; Iteration</t>
  </si>
  <si>
    <t xml:space="preserve">1.5 weeks</t>
  </si>
  <si>
    <t xml:space="preserve">05</t>
  </si>
  <si>
    <t xml:space="preserve">Lists &amp; Tuples</t>
  </si>
  <si>
    <t xml:space="preserve">06</t>
  </si>
  <si>
    <t xml:space="preserve">Strings In Depth</t>
  </si>
  <si>
    <t xml:space="preserve">07</t>
  </si>
  <si>
    <t xml:space="preserve">Dictionaries &amp; Sets</t>
  </si>
  <si>
    <t xml:space="preserve">Intermediate</t>
  </si>
  <si>
    <t xml:space="preserve">08</t>
  </si>
  <si>
    <t xml:space="preserve">Functions</t>
  </si>
  <si>
    <t xml:space="preserve">2 weeks</t>
  </si>
  <si>
    <t xml:space="preserve">09</t>
  </si>
  <si>
    <t xml:space="preserve">File Handling</t>
  </si>
  <si>
    <t xml:space="preserve">10</t>
  </si>
  <si>
    <t xml:space="preserve">Error Handling &amp; Debugging</t>
  </si>
  <si>
    <t xml:space="preserve">11</t>
  </si>
  <si>
    <t xml:space="preserve">Object-Oriented Programming</t>
  </si>
  <si>
    <t xml:space="preserve">2.5 weeks</t>
  </si>
  <si>
    <t xml:space="preserve">12</t>
  </si>
  <si>
    <t xml:space="preserve">Modules, Packages &amp; Stdlib</t>
  </si>
  <si>
    <t xml:space="preserve">13</t>
  </si>
  <si>
    <t xml:space="preserve">Functional Programming &amp; Itertools</t>
  </si>
  <si>
    <t xml:space="preserve">Advanced</t>
  </si>
  <si>
    <t xml:space="preserve">14</t>
  </si>
  <si>
    <t xml:space="preserve">Algorithms &amp; Problem Solving</t>
  </si>
  <si>
    <t xml:space="preserve">15</t>
  </si>
  <si>
    <t xml:space="preserve">Data Structures in Python</t>
  </si>
  <si>
    <t xml:space="preserve">📊  PROGRESS SUMMARY</t>
  </si>
  <si>
    <t xml:space="preserve">Total Modules</t>
  </si>
  <si>
    <t xml:space="preserve">Completed</t>
  </si>
  <si>
    <t xml:space="preserve">In Progress</t>
  </si>
  <si>
    <t xml:space="preserve">Avg Score</t>
  </si>
  <si>
    <t xml:space="preserve">Total Hours</t>
  </si>
  <si>
    <t xml:space="preserve">👥  Learner Progress Matrix — Python Roadmap</t>
  </si>
  <si>
    <t xml:space="preserve">Enter each learner's name in Row 3. Use: 0=Not Started  1=In Progress  2=Completed  3=Needs Revision</t>
  </si>
  <si>
    <t xml:space="preserve">Learner 1</t>
  </si>
  <si>
    <t xml:space="preserve">Learner 2</t>
  </si>
  <si>
    <t xml:space="preserve">Learner 3</t>
  </si>
  <si>
    <t xml:space="preserve">Learner 4</t>
  </si>
  <si>
    <t xml:space="preserve">Learner 5</t>
  </si>
  <si>
    <t xml:space="preserve">Learner 6</t>
  </si>
  <si>
    <t xml:space="preserve">Learner 7</t>
  </si>
  <si>
    <t xml:space="preserve">Learner 8</t>
  </si>
  <si>
    <t xml:space="preserve">Modules Completed ✓</t>
  </si>
  <si>
    <t xml:space="preserve">Completion %</t>
  </si>
  <si>
    <t xml:space="preserve">📚  Module Reference — Topics, Practice &amp; DSA</t>
  </si>
  <si>
    <t xml:space="preserve">Complete reference for every module: topics, practice questions, projects, common mistakes, and DSA problems</t>
  </si>
  <si>
    <t xml:space="preserve">Title</t>
  </si>
  <si>
    <t xml:space="preserve">Topics Covered</t>
  </si>
  <si>
    <t xml:space="preserve">Practice Questions</t>
  </si>
  <si>
    <t xml:space="preserve">Mini Project</t>
  </si>
  <si>
    <t xml:space="preserve">Common Mistakes</t>
  </si>
  <si>
    <t xml:space="preserve">DSA Problems</t>
  </si>
  <si>
    <t xml:space="preserve">Install Python &amp; VS Code | Run .py files | print() &amp; input() | Variables | Comments | Arithmetic</t>
  </si>
  <si>
    <t xml:space="preserve">E: Print name/age/city | E: Variable profile card | E: Personal greeter | M: Rectangle area | M: Swap 2 variables without temp</t>
  </si>
  <si>
    <t xml:space="preserve">Mad Libs Generator — ask noun/verb/adjective, print funny story using inputs</t>
  </si>
  <si>
    <t xml:space="preserve">Spaces in var names | Forgot to close quotes | Printing without string quotes | Wrong file extension</t>
  </si>
  <si>
    <t xml:space="preserve">Trace I/O flow manually | Write algorithm in plain English first | No formal DSA yet</t>
  </si>
  <si>
    <t xml:space="preserve">int, float, str, bool | Type conversion | String methods: upper/lower/strip | f-strings | Arithmetic &amp; modulo</t>
  </si>
  <si>
    <t xml:space="preserve">E: Age from birth year | E: Upper/lower case | E: f-string display card | M: Even/odd checker | M: Count vowels in word</t>
  </si>
  <si>
    <t xml:space="preserve">Unit Converter — km↔miles, kg↔pounds, °C↔°F with f-string output</t>
  </si>
  <si>
    <t xml:space="preserve">int+str without conversion | = vs == | Float precision (0.1+0.2) | Missing f before f-string</t>
  </si>
  <si>
    <t xml:space="preserve">Trace operator precedence | FizzBuzz up to 20 (preview)</t>
  </si>
  <si>
    <t xml:space="preserve">if/elif/else | Comparison ops ==,!=,&lt;,&gt;,&lt;=,&gt;= | Logical: and, or, not | Nested conditions | Truthy/falsy</t>
  </si>
  <si>
    <t xml:space="preserve">E: Grade checker A-F | E: Positive/negative/zero | E: Login username+password | M: Leap year | M: Triangle classifier</t>
  </si>
  <si>
    <t xml:space="preserve">BMI Calculator — compute BMI and print category (Underweight/Normal/Overweight/Obese)</t>
  </si>
  <si>
    <t xml:space="preserve">if x = 5 not x == 5 | Missing colons | Wrong indentation | Case-sensitive string compare</t>
  </si>
  <si>
    <t xml:space="preserve">FizzBuzz (required!) | Largest of 3 numbers | Check if prime (brute force)</t>
  </si>
  <si>
    <t xml:space="preserve">for loops &amp; range() | while loops | break/continue/pass | Nested loops | Loop over strings | Counter/accumulator patterns</t>
  </si>
  <si>
    <t xml:space="preserve">E: Multiplication table | E: Sum 1 to N | E: Star triangle N rows | M: Primes 2-100 | M: While guessing game</t>
  </si>
  <si>
    <t xml:space="preserve">Number Guessing Game v2 — loop until correct, count attempts, show 'Got it in N tries!'</t>
  </si>
  <si>
    <t xml:space="preserve">Infinite while (forget to update) | Off-by-one in range() | Modify list while iterating | = in while condition</t>
  </si>
  <si>
    <t xml:space="preserve">Count digits with while | Reverse a number | Print all factors of N | Linear search preview</t>
  </si>
  <si>
    <t xml:space="preserve">Create/index lists | append/pop/insert/remove/sort | List slicing | Loop over lists | List comprehensions | Tuples | Nested lists</t>
  </si>
  <si>
    <t xml:space="preserve">E: Friends list add/remove/sort | E: Max/min/avg without builtins | M: Reverse without .reverse() | M: Squares of evens | M: Flatten 2D list</t>
  </si>
  <si>
    <t xml:space="preserve">Simple To-Do List App — add tasks, mark complete (remove), view remaining</t>
  </si>
  <si>
    <t xml:space="preserve">IndexError out of range | Modify while iterating | b=a copies reference not values | Single-item tuple needs comma (x,)</t>
  </si>
  <si>
    <t xml:space="preserve">Linear search | Count occurrences | Remove duplicates | Rotate list by K</t>
  </si>
  <si>
    <t xml:space="preserve">Indexing &amp; slicing | split/join/replace/find/count | f-string/.format() | Immutability | Multi-line | Escape chars</t>
  </si>
  <si>
    <t xml:space="preserve">E: Palindrome checker | E: Word count with split() | M: Reverse each word | M: Anagram checker | M: Caesar cipher shift 3</t>
  </si>
  <si>
    <t xml:space="preserve">Text Analyser — word count, char count, most common letter, sentence count from paragraph</t>
  </si>
  <si>
    <t xml:space="preserve">Mutating strings (immutable!) | Forgetting split() returns list | Off-by-one slicing | == vs 'in' for substring</t>
  </si>
  <si>
    <t xml:space="preserve">Anagram check | Run-length encoding aabbbcc→a2b3c2 | Count unique chars</t>
  </si>
  <si>
    <t xml:space="preserve">Create/access/update dicts | keys()/values()/items()/get() | Nested dicts | Set ops: union/intersection/diff | Dict comprehensions</t>
  </si>
  <si>
    <t xml:space="preserve">E: Phonebook add/update/delete | E: Word frequency counter | M: Common students with sets | M: Invert dict | M: Group by grade</t>
  </si>
  <si>
    <t xml:space="preserve">Student Report Card — nested dict per student, avg per subject, grade, formatted print</t>
  </si>
  <si>
    <t xml:space="preserve">KeyError (use .get()) | Iterating while modifying | Keys must be immutable | {} creates dict not set</t>
  </si>
  <si>
    <t xml:space="preserve">Two Sum O(n) with dict | Group anagrams | First non-repeating char | Find all duplicates</t>
  </si>
  <si>
    <t xml:space="preserve">Define/call functions | Parameters/args/return | Default &amp; keyword args | *args **kwargs | Scope local/global | Recursion | Lambda</t>
  </si>
  <si>
    <t xml:space="preserve">E: is_prime(n) function | E: max/min/avg of list | M: Recursive factorial &amp; fibonacci | M: *args adder | M: Memoized factorial</t>
  </si>
  <si>
    <t xml:space="preserve">Quiz Game — load_questions() ask_question() check_answer() show_score() using dict Q&amp;A pairs</t>
  </si>
  <si>
    <t xml:space="preserve">Not returning value (returns None) | Modifying globals inside function | Infinite recursion no base case | Param name shadows outer var</t>
  </si>
  <si>
    <t xml:space="preserve">Recursive binary search | Tower of Hanoi | Power(base,exp) recursively | Flatten nested list recursively</t>
  </si>
  <si>
    <t xml:space="preserve">open() modes r/w/a | read()/readline()/readlines() | with statement | CSV files | Exception handling | os module basics</t>
  </si>
  <si>
    <t xml:space="preserve">E: Save input to file, read back | E: Count lines/words/chars | M: CSV marks → class average | M: Append log with timestamp | M: Find/replace in file</t>
  </si>
  <si>
    <t xml:space="preserve">Expense Tracker — add expenses to CSV (date, category, amount), load and summarize by category and month</t>
  </si>
  <si>
    <t xml:space="preserve">'w' mode deletes existing content | Forgetting newline \n | Not handling FileNotFoundError | Forgetting to use with</t>
  </si>
  <si>
    <t xml:space="preserve">Sort integers from file | Word frequency from file | Find top-5 words in text file</t>
  </si>
  <si>
    <t xml:space="preserve">try/except/else/finally | ValueError/TypeError/IndexError/KeyError | raise | Custom exceptions | assert | Logging basics</t>
  </si>
  <si>
    <t xml:space="preserve">E: Wrap ATM in try/except | E: Safe division function | M: Custom AgeError | M: FileNotFoundError handling | M: try/except/finally on CSV</t>
  </si>
  <si>
    <t xml:space="preserve">Go back to any previous project, add comprehensive error handling + logging for all edge cases</t>
  </si>
  <si>
    <t xml:space="preserve">Bare except catches everything including KeyboardInterrupt | Silent pass in except | Over-engineering normal flow | Finally always runs</t>
  </si>
  <si>
    <t xml:space="preserve">Validated stack with custom exceptions | Binary search exception on missing | Validate input in recursive functions</t>
  </si>
  <si>
    <t xml:space="preserve">Classes &amp; objects | __init__ &amp; self | Instance vs class attrs | Methods: instance/class/static | Inheritance &amp; super() | Polymorphism | Magic methods</t>
  </si>
  <si>
    <t xml:space="preserve">E: BankAccount with deposit/withdraw | E: Animal→Dog/Cat with speak() | M: Student GPA calculator | M: Shape hierarchy with area() | M: Card class with __str__/__eq__/__lt__</t>
  </si>
  <si>
    <t xml:space="preserve">Bank System — Account, SavingsAccount (interest), CurrentAccount (overdraft). Transactions saved to file</t>
  </si>
  <si>
    <t xml:space="preserve">Forgetting self | Calling method without () | Mutating class attrs via instance | Deep vs shallow copy with objects</t>
  </si>
  <si>
    <t xml:space="preserve">Implement Stack class | Implement Queue class | Linked List with Node class | Simple HashTable class</t>
  </si>
  <si>
    <t xml:space="preserve">import / from...import / as | Create own modules | __name__=='__main__' | math/random/datetime/os/sys | pip &amp; venv</t>
  </si>
  <si>
    <t xml:space="preserve">E: Shuffle cards with random | E: Days until birthday with datetime | M: Split To-Do into modules | M: os.listdir() for .txt files | M: Random quote from file</t>
  </si>
  <si>
    <t xml:space="preserve">Organise a previous large project into a proper package structure with multiple .py files</t>
  </si>
  <si>
    <t xml:space="preserve">Circular imports | import * pollutes namespace | No virtual environments | Shadowing stdlib names (don't name file random.py)</t>
  </si>
  <si>
    <t xml:space="preserve">Use random for shuffling algorithms | Use datetime to measure runtime | Use collections.Counter for frequency</t>
  </si>
  <si>
    <t xml:space="preserve">map()/filter()/reduce() | Lambda | Comprehensions all types | Generator functions with yield | itertools: chain/product/combinations | zip()/enumerate()/sorted(key=)</t>
  </si>
  <si>
    <t xml:space="preserve">E: map() Celsius→Fahrenheit | E: filter() primes from list | M: Fibonacci generator | M: combinations() for team pairs | M: Sort dicts by GPA then name</t>
  </si>
  <si>
    <t xml:space="preserve">Data Pipeline — read CSV, filter, transform, sort, write output in functional style (no explicit for loops)</t>
  </si>
  <si>
    <t xml:space="preserve">map/filter return iterators not lists | Generator exhaustion (one-time) | Lambda too complex (use def) | [] vs () comprehension vs generator</t>
  </si>
  <si>
    <t xml:space="preserve">Sliding window max with deque | All permutations of string | Flatten nested with itertools.chain.from_iterable</t>
  </si>
  <si>
    <t xml:space="preserve">Big O complexity intro | Bubble/selection/insertion/merge/quicksort | Linear/binary search | Two-pointer | Sliding window | Greedy intro | Divide and conquer</t>
  </si>
  <si>
    <t xml:space="preserve">E: Bubble sort + count swaps | E: Binary search → index or -1 | M: Two Sum two-pointer | M: Max sum subarray size K | M: Merge two sorted lists</t>
  </si>
  <si>
    <t xml:space="preserve">Sorting Visualiser — print visual steps of bubble sort with time.sleep() to show each swap in terminal</t>
  </si>
  <si>
    <t xml:space="preserve">No edge cases (empty/single element) | Recursive sort no base case | Extra O(n) space when in-place needed | Confusing worst/avg case quicksort</t>
  </si>
  <si>
    <t xml:space="preserve">LeetCode: Two Sum | Valid Anagram | Palindrome Number | Best Time Buy/Sell Stock | 3Sum | Longest Substring No Repeat</t>
  </si>
  <si>
    <t xml:space="preserve">Stack &amp; Queue | Linked Lists | Binary Trees &amp; BST | Hashing &amp; collision | Heaps &amp; heapq | Graphs: adj list/matrix | BFS &amp; DFS traversal</t>
  </si>
  <si>
    <t xml:space="preserve">E: Stack class push/pop/peek | E: Queue with collections.deque | M: BST insert/search/delete | M: BFS shortest path | M: Cycle detection Floyd's</t>
  </si>
  <si>
    <t xml:space="preserve">Pathfinder — represent grid as graph, find path start→end using BFS, print path visually in terminal</t>
  </si>
  <si>
    <t xml:space="preserve">Stack overflow deep recursion (use iteration) | list.pop(0) is O(n) (use deque) | Unbalanced BST awareness | Confusing DFS vs BFS use cases</t>
  </si>
  <si>
    <t xml:space="preserve">LeetCode: Valid Parentheses (stack) | Number of Islands | Merge K Sorted Lists (heap) | Clone Graph | Kth Largest Element</t>
  </si>
  <si>
    <t xml:space="preserve">📅  Weekly Study Schedule — Python Roadmap</t>
  </si>
  <si>
    <t xml:space="preserve">Assumes 2–2.5 hrs/weekday, 3–4 hrs weekend | Adjust pace to your group — never rush a module | All times are approximate</t>
  </si>
  <si>
    <t xml:space="preserve">Day</t>
  </si>
  <si>
    <t xml:space="preserve">Activity</t>
  </si>
  <si>
    <t xml:space="preserve">Focus</t>
  </si>
  <si>
    <t xml:space="preserve">Group / Solo</t>
  </si>
  <si>
    <t xml:space="preserve">Notes</t>
  </si>
  <si>
    <t xml:space="preserve">Monday</t>
  </si>
  <si>
    <t xml:space="preserve">New topic introduction + code-along examples</t>
  </si>
  <si>
    <t xml:space="preserve">Concept understanding | Watch/read | Try simple examples</t>
  </si>
  <si>
    <t xml:space="preserve">Group — follow along together</t>
  </si>
  <si>
    <t xml:space="preserve">All start the new module topic together. Stronger learners can help explain.</t>
  </si>
  <si>
    <t xml:space="preserve">Tuesday</t>
  </si>
  <si>
    <t xml:space="preserve">Practice questions — Easy tier (individual)</t>
  </si>
  <si>
    <t xml:space="preserve">Solo coding | Apply today's concept | No help first</t>
  </si>
  <si>
    <t xml:space="preserve">Solo → then share solutions</t>
  </si>
  <si>
    <t xml:space="preserve">Everyone codes independently first. Share &amp; compare solutions after 45 mins.</t>
  </si>
  <si>
    <t xml:space="preserve">Wednesday</t>
  </si>
  <si>
    <t xml:space="preserve">Practice questions — Medium tier + group discussion</t>
  </si>
  <si>
    <t xml:space="preserve">Medium difficulty | Pair programming | Debug together</t>
  </si>
  <si>
    <t xml:space="preserve">Pairs or small groups</t>
  </si>
  <si>
    <t xml:space="preserve">Pair beginner with advanced learner. Discuss multiple approaches.</t>
  </si>
  <si>
    <t xml:space="preserve">Thursday</t>
  </si>
  <si>
    <t xml:space="preserve">Assignment / mini project work</t>
  </si>
  <si>
    <t xml:space="preserve">Build something real | Apply everything | Problem-solve</t>
  </si>
  <si>
    <t xml:space="preserve">Solo or pairs</t>
  </si>
  <si>
    <t xml:space="preserve">This is the most important session — BUILDING is how you learn Python.</t>
  </si>
  <si>
    <t xml:space="preserve">Friday</t>
  </si>
  <si>
    <t xml:space="preserve">Peer code review — share and explain solutions</t>
  </si>
  <si>
    <t xml:space="preserve">Code quality | Different approaches | Teach-back method</t>
  </si>
  <si>
    <t xml:space="preserve">Group — everyone presents</t>
  </si>
  <si>
    <t xml:space="preserve">Present your solution for 5 mins. Group gives feedback. No judgment — only improvement.</t>
  </si>
  <si>
    <t xml:space="preserve">Saturday</t>
  </si>
  <si>
    <t xml:space="preserve">Revision of current week + DSA problems</t>
  </si>
  <si>
    <t xml:space="preserve">Revisit concepts | DSA practice | Fill knowledge gaps</t>
  </si>
  <si>
    <t xml:space="preserve">Solo + optional group</t>
  </si>
  <si>
    <t xml:space="preserve">Use spaced repetition: also review 2 modules back. Attempt 1-2 DSA problems.</t>
  </si>
  <si>
    <t xml:space="preserve">Sunday</t>
  </si>
  <si>
    <t xml:space="preserve">Mini project OR rest. Weekly retrospective.</t>
  </si>
  <si>
    <t xml:space="preserve">Reflection | Plan next week | Optional extra coding</t>
  </si>
  <si>
    <t xml:space="preserve">Group retrospective (30 min)</t>
  </si>
  <si>
    <t xml:space="preserve">3 questions: What did I learn? What confused me? What will I practice more?</t>
  </si>
  <si>
    <t xml:space="preserve">🏆  Checkpoints, Quizzes &amp; Milestones</t>
  </si>
  <si>
    <t xml:space="preserve">Every learner must pass each checkpoint before the group moves on — use these as mini hackathon days!</t>
  </si>
  <si>
    <t xml:space="preserve">After Module</t>
  </si>
  <si>
    <t xml:space="preserve">Checkpoint Name</t>
  </si>
  <si>
    <t xml:space="preserve">What to Test</t>
  </si>
  <si>
    <t xml:space="preserve">Group Activity</t>
  </si>
  <si>
    <t xml:space="preserve">Pass Mark</t>
  </si>
  <si>
    <t xml:space="preserve">Module 3 — Conditionals</t>
  </si>
  <si>
    <t xml:space="preserve">Basics Mastery</t>
  </si>
  <si>
    <t xml:space="preserve">Variables, data types, type conversion, conditionals (if/elif/else), f-strings, basic loops preview</t>
  </si>
  <si>
    <t xml:space="preserve">Quiz (15 questions, 30 min) + Mini challenge: write a program using variables + type conversion + at least 3 conditions</t>
  </si>
  <si>
    <t xml:space="preserve">70%</t>
  </si>
  <si>
    <t xml:space="preserve">Not Done</t>
  </si>
  <si>
    <t xml:space="preserve">Module 5 — Lists &amp; Tuples</t>
  </si>
  <si>
    <t xml:space="preserve">Loops &amp; Collections</t>
  </si>
  <si>
    <t xml:space="preserve">for loops, while loops, break/continue, list creation/modification/slicing, list comprehensions</t>
  </si>
  <si>
    <t xml:space="preserve">Mini-hackathon (1 hr): build a small program using loops + lists. Each person builds solo, then group compares solutions</t>
  </si>
  <si>
    <t xml:space="preserve">Module 9 — File Handling</t>
  </si>
  <si>
    <t xml:space="preserve">Intermediate Python</t>
  </si>
  <si>
    <t xml:space="preserve">Functions (parameters, return, scope, recursion), dictionaries (CRUD + frequency), file read/write, CSV handling</t>
  </si>
  <si>
    <t xml:space="preserve">Code review day: refactor old code to use functions + dicts. Then: build a contact book with file persistence in 2 hours</t>
  </si>
  <si>
    <t xml:space="preserve">75%</t>
  </si>
  <si>
    <t xml:space="preserve">Module 12 — Stdlib</t>
  </si>
  <si>
    <t xml:space="preserve">OOP &amp; Modules</t>
  </si>
  <si>
    <t xml:space="preserve">Classes, inheritance, magic methods, polymorphism, error handling, module structure, virtual environments</t>
  </si>
  <si>
    <t xml:space="preserve">Design challenge: model a real-world system (library / bank / hospital) with OOP. Peer review of class design. Present decisions.</t>
  </si>
  <si>
    <t xml:space="preserve">Module 15 — DSA</t>
  </si>
  <si>
    <t xml:space="preserve">Algorithms &amp; Data Structures</t>
  </si>
  <si>
    <t xml:space="preserve">Sorting algorithms, binary search, Big O analysis, stack/queue, BFS/DFS, problem-solving patterns</t>
  </si>
  <si>
    <t xml:space="preserve">Solve 3 LeetCode Easy + 1 Medium as a group (2 hrs). Then each person explains their time complexity. Final project kickoff.</t>
  </si>
  <si>
    <t xml:space="preserve">80%</t>
  </si>
  <si>
    <t xml:space="preserve">🚀  Capstone Projects — Final Assessment</t>
  </si>
  <si>
    <t xml:space="preserve">Choose one per team | Build for 2–4 weeks | Present to the group | Code quality + problem-solving both count</t>
  </si>
  <si>
    <t xml:space="preserve">Project Title</t>
  </si>
  <si>
    <t xml:space="preserve">Description</t>
  </si>
  <si>
    <t xml:space="preserve">Key Modules Required</t>
  </si>
  <si>
    <t xml:space="preserve">Difficulty</t>
  </si>
  <si>
    <t xml:space="preserve">Chosen By</t>
  </si>
  <si>
    <t xml:space="preserve">Student Management System</t>
  </si>
  <si>
    <t xml:space="preserve">Full CRUD system: add/edit/delete students, marks, attendance. Auto-compute GPA, grade letters. Filter/sort by subject or class. CSV export reports.</t>
  </si>
  <si>
    <t xml:space="preserve">OOP, File Handling, Dicts, Functions, Error Handling, CSV, datetime</t>
  </si>
  <si>
    <t xml:space="preserve">Text-Based RPG Game</t>
  </si>
  <si>
    <t xml:space="preserve">Adventure game with rooms, inventory, NPCs, enemies, combat system. Save/load game state to JSON file. Multiple endings based on choices.</t>
  </si>
  <si>
    <t xml:space="preserve">OOP, Dicts, Files, Recursion, Modules, Error Handling, random</t>
  </si>
  <si>
    <t xml:space="preserve">Personal Finance Tracker</t>
  </si>
  <si>
    <t xml:space="preserve">Log income &amp; expenses to CSV. Monthly and category reports. Budget alerts when over limit. Visualise spending using print() bar charts.</t>
  </si>
  <si>
    <t xml:space="preserve">Files, CSV, Dicts, datetime, Functions, Loops, Error Handling</t>
  </si>
  <si>
    <t xml:space="preserve">Beginner-friendly</t>
  </si>
  <si>
    <t xml:space="preserve">Library Management System</t>
  </si>
  <si>
    <t xml:space="preserve">Books, members, borrowing/returning, due date tracking, late fee calculation. Search by title/author. All data persisted in files.</t>
  </si>
  <si>
    <t xml:space="preserve">OOP, Files, Dicts, datetime, Modules, Error Handling, Sets</t>
  </si>
  <si>
    <t xml:space="preserve">Algorithm Visualiser CLI</t>
  </si>
  <si>
    <t xml:space="preserve">Terminal visualiser for sorting algorithms. Show each step with ASCII bars. Time multiple algorithms on same dataset. Print Big O analysis.</t>
  </si>
  <si>
    <t xml:space="preserve">Algorithms, Functions, Loops, time module, Lists, OOP</t>
  </si>
  <si>
    <t xml:space="preserve">Intermediate-Advanced</t>
  </si>
  <si>
    <t xml:space="preserve">CLI Expense Splitter</t>
  </si>
  <si>
    <t xml:space="preserve">Split group expenses fairly (like Splitwise). Track who paid what, compute net balances, suggest minimum transactions to settle up.</t>
  </si>
  <si>
    <t xml:space="preserve">Dicts, Lists, Functions, OOP, Files, Error Handling, Math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</si>
</sst>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9"/>
      <color rgb="FF185FA5"/>
      <name val="Arial"/>
      <family val="0"/>
      <charset val="1"/>
    </font>
    <font>
      <sz val="10"/>
      <color rgb="FF888780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993C1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85041"/>
      <name val="Arial"/>
      <family val="0"/>
      <charset val="1"/>
    </font>
    <font>
      <sz val="9"/>
      <color rgb="FF854F0B"/>
      <name val="Arial"/>
      <family val="0"/>
      <charset val="1"/>
    </font>
    <font>
      <sz val="9"/>
      <color rgb="FF888780"/>
      <name val="Arial"/>
      <family val="0"/>
      <charset val="1"/>
    </font>
    <font>
      <sz val="9"/>
      <color rgb="FF534AB7"/>
      <name val="Arial"/>
      <family val="0"/>
      <charset val="1"/>
    </font>
    <font>
      <sz val="9"/>
      <color rgb="FF185FA5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085041"/>
      <name val="Arial"/>
      <family val="0"/>
      <charset val="1"/>
    </font>
    <font>
      <b val="true"/>
      <sz val="14"/>
      <color rgb="FF854F0B"/>
      <name val="Arial"/>
      <family val="0"/>
      <charset val="1"/>
    </font>
    <font>
      <b val="true"/>
      <sz val="14"/>
      <color rgb="FF888780"/>
      <name val="Arial"/>
      <family val="0"/>
      <charset val="1"/>
    </font>
    <font>
      <b val="true"/>
      <sz val="14"/>
      <color rgb="FF534AB7"/>
      <name val="Arial"/>
      <family val="0"/>
      <charset val="1"/>
    </font>
    <font>
      <b val="true"/>
      <sz val="14"/>
      <color rgb="FF185FA5"/>
      <name val="Arial"/>
      <family val="0"/>
      <charset val="1"/>
    </font>
    <font>
      <b val="true"/>
      <sz val="11"/>
      <color rgb="FF08504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85041"/>
      <name val="Arial"/>
      <family val="0"/>
      <charset val="1"/>
    </font>
    <font>
      <sz val="10"/>
      <color rgb="FF534AB7"/>
      <name val="Arial"/>
      <family val="0"/>
      <charset val="1"/>
    </font>
    <font>
      <sz val="9"/>
      <color rgb="FF993C1D"/>
      <name val="Arial"/>
      <family val="0"/>
      <charset val="1"/>
    </font>
    <font>
      <sz val="10"/>
      <color rgb="FF854F0B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993C1D"/>
      <name val="Arial"/>
      <family val="0"/>
      <charset val="1"/>
    </font>
    <font>
      <sz val="10"/>
      <color rgb="FF08504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85041"/>
        <bgColor rgb="FF27500A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8F7F4"/>
      </patternFill>
    </fill>
    <fill>
      <patternFill patternType="solid">
        <fgColor rgb="FFE6F1FB"/>
        <bgColor rgb="FFEEEDFE"/>
      </patternFill>
    </fill>
    <fill>
      <patternFill patternType="solid">
        <fgColor rgb="FFF1EFE8"/>
        <bgColor rgb="FFFAECE7"/>
      </patternFill>
    </fill>
    <fill>
      <patternFill patternType="solid">
        <fgColor rgb="FFF8F7F4"/>
        <bgColor rgb="FFF0FAF6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0FAF6"/>
        <bgColor rgb="FFF8F7F4"/>
      </patternFill>
    </fill>
    <fill>
      <patternFill patternType="solid">
        <fgColor rgb="FF185FA5"/>
        <bgColor rgb="FF008080"/>
      </patternFill>
    </fill>
    <fill>
      <patternFill patternType="solid">
        <fgColor rgb="FF534AB7"/>
        <bgColor rgb="FF333399"/>
      </patternFill>
    </fill>
    <fill>
      <patternFill patternType="solid">
        <fgColor rgb="FF854F0B"/>
        <bgColor rgb="FF993C1D"/>
      </patternFill>
    </fill>
    <fill>
      <patternFill patternType="solid">
        <fgColor rgb="FF993C1D"/>
        <bgColor rgb="FFA32D2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E0DED8"/>
      </left>
      <right style="thin">
        <color rgb="FFE0DED8"/>
      </right>
      <top style="thin">
        <color rgb="FFE0DED8"/>
      </top>
      <bottom style="thin">
        <color rgb="FFE0D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27500A"/>
        <sz val="10"/>
      </font>
      <fill>
        <patternFill>
          <bgColor rgb="FFC0DD97"/>
        </patternFill>
      </fill>
    </dxf>
    <dxf>
      <font>
        <name val="Arial"/>
        <charset val="1"/>
        <family val="0"/>
        <b val="1"/>
        <color rgb="FF854F0B"/>
        <sz val="10"/>
      </font>
      <fill>
        <patternFill>
          <bgColor rgb="FFFAC775"/>
        </patternFill>
      </fill>
    </dxf>
    <dxf>
      <font>
        <name val="Arial"/>
        <charset val="1"/>
        <family val="0"/>
        <b val="1"/>
        <color rgb="FFA32D2D"/>
        <sz val="10"/>
      </font>
      <fill>
        <patternFill>
          <bgColor rgb="FFF7C1C1"/>
        </patternFill>
      </fill>
    </dxf>
    <dxf>
      <font>
        <name val="Arial"/>
        <charset val="1"/>
        <family val="0"/>
        <b val="1"/>
        <color rgb="FF27500A"/>
      </font>
      <fill>
        <patternFill>
          <bgColor rgb="FFC0DD97"/>
        </patternFill>
      </fill>
    </dxf>
    <dxf>
      <font>
        <name val="Arial"/>
        <charset val="1"/>
        <family val="0"/>
        <b val="1"/>
        <color rgb="FF854F0B"/>
      </font>
      <fill>
        <patternFill>
          <bgColor rgb="FFFAC775"/>
        </patternFill>
      </fill>
    </dxf>
    <dxf>
      <font>
        <name val="Arial"/>
        <charset val="1"/>
        <family val="0"/>
        <b val="1"/>
        <color rgb="FFA32D2D"/>
      </font>
      <fill>
        <patternFill>
          <bgColor rgb="FFF7C1C1"/>
        </patternFill>
      </fill>
    </dxf>
    <dxf>
      <font>
        <name val="Arial"/>
        <charset val="1"/>
        <family val="0"/>
        <b val="1"/>
        <color rgb="FF888780"/>
      </font>
      <fill>
        <patternFill>
          <bgColor rgb="FFF1EFE8"/>
        </patternFill>
      </fill>
    </dxf>
    <dxf>
      <font>
        <name val="Arial"/>
        <charset val="1"/>
        <family val="0"/>
        <b val="1"/>
        <color rgb="FF185FA5"/>
      </font>
      <fill>
        <patternFill>
          <bgColor rgb="FFB5D4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EFE8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88780"/>
      <rgbColor rgb="FFEEEDFE"/>
      <rgbColor rgb="FFA32D2D"/>
      <rgbColor rgb="FFFAEEDA"/>
      <rgbColor rgb="FFE1F5EE"/>
      <rgbColor rgb="FF660066"/>
      <rgbColor rgb="FFFF8080"/>
      <rgbColor rgb="FF185FA5"/>
      <rgbColor rgb="FFB5D4F4"/>
      <rgbColor rgb="FF000080"/>
      <rgbColor rgb="FFFF00FF"/>
      <rgbColor rgb="FFF8F7F4"/>
      <rgbColor rgb="FF00FFFF"/>
      <rgbColor rgb="FF800080"/>
      <rgbColor rgb="FF800000"/>
      <rgbColor rgb="FF008080"/>
      <rgbColor rgb="FF0000FF"/>
      <rgbColor rgb="FF00CCFF"/>
      <rgbColor rgb="FFE6F1FB"/>
      <rgbColor rgb="FFF0FAF6"/>
      <rgbColor rgb="FFFAECE7"/>
      <rgbColor rgb="FFC0DD97"/>
      <rgbColor rgb="FFF7C1C1"/>
      <rgbColor rgb="FFE0DED8"/>
      <rgbColor rgb="FFFAC775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85041"/>
      <rgbColor rgb="FF1D9E75"/>
      <rgbColor rgb="FF003300"/>
      <rgbColor rgb="FF27500A"/>
      <rgbColor rgb="FF993C1D"/>
      <rgbColor rgb="FF854F0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10" min="9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1.75" hidden="false" customHeight="true" outlineLevel="0" collapsed="false">
      <c r="A4" s="4" t="n">
        <v>1</v>
      </c>
      <c r="B4" s="5" t="s">
        <v>12</v>
      </c>
      <c r="C4" s="6" t="s">
        <v>13</v>
      </c>
      <c r="D4" s="7" t="s">
        <v>14</v>
      </c>
      <c r="E4" s="4" t="s">
        <v>15</v>
      </c>
      <c r="F4" s="4" t="n">
        <v>6</v>
      </c>
      <c r="G4" s="8" t="s">
        <v>16</v>
      </c>
      <c r="H4" s="4"/>
      <c r="I4" s="4" t="n">
        <v>0</v>
      </c>
      <c r="J4" s="9"/>
    </row>
    <row r="5" customFormat="false" ht="21.75" hidden="false" customHeight="true" outlineLevel="0" collapsed="false">
      <c r="A5" s="10" t="n">
        <v>2</v>
      </c>
      <c r="B5" s="11" t="s">
        <v>17</v>
      </c>
      <c r="C5" s="12" t="s">
        <v>18</v>
      </c>
      <c r="D5" s="7" t="s">
        <v>14</v>
      </c>
      <c r="E5" s="10" t="s">
        <v>15</v>
      </c>
      <c r="F5" s="10" t="n">
        <v>6</v>
      </c>
      <c r="G5" s="8" t="s">
        <v>16</v>
      </c>
      <c r="H5" s="10"/>
      <c r="I5" s="10" t="n">
        <v>0</v>
      </c>
      <c r="J5" s="13"/>
    </row>
    <row r="6" customFormat="false" ht="21.75" hidden="false" customHeight="true" outlineLevel="0" collapsed="false">
      <c r="A6" s="4" t="n">
        <v>3</v>
      </c>
      <c r="B6" s="5" t="s">
        <v>19</v>
      </c>
      <c r="C6" s="6" t="s">
        <v>20</v>
      </c>
      <c r="D6" s="7" t="s">
        <v>14</v>
      </c>
      <c r="E6" s="4" t="s">
        <v>15</v>
      </c>
      <c r="F6" s="4" t="n">
        <v>6</v>
      </c>
      <c r="G6" s="8" t="s">
        <v>16</v>
      </c>
      <c r="H6" s="4"/>
      <c r="I6" s="4" t="n">
        <v>0</v>
      </c>
      <c r="J6" s="9"/>
    </row>
    <row r="7" customFormat="false" ht="21.75" hidden="false" customHeight="true" outlineLevel="0" collapsed="false">
      <c r="A7" s="10" t="n">
        <v>4</v>
      </c>
      <c r="B7" s="11" t="s">
        <v>21</v>
      </c>
      <c r="C7" s="12" t="s">
        <v>22</v>
      </c>
      <c r="D7" s="7" t="s">
        <v>14</v>
      </c>
      <c r="E7" s="10" t="s">
        <v>23</v>
      </c>
      <c r="F7" s="10" t="n">
        <v>6</v>
      </c>
      <c r="G7" s="8" t="s">
        <v>16</v>
      </c>
      <c r="H7" s="10"/>
      <c r="I7" s="10" t="n">
        <v>0</v>
      </c>
      <c r="J7" s="13"/>
    </row>
    <row r="8" customFormat="false" ht="21.75" hidden="false" customHeight="true" outlineLevel="0" collapsed="false">
      <c r="A8" s="4" t="n">
        <v>5</v>
      </c>
      <c r="B8" s="5" t="s">
        <v>24</v>
      </c>
      <c r="C8" s="6" t="s">
        <v>25</v>
      </c>
      <c r="D8" s="7" t="s">
        <v>14</v>
      </c>
      <c r="E8" s="4" t="s">
        <v>23</v>
      </c>
      <c r="F8" s="4" t="n">
        <v>7</v>
      </c>
      <c r="G8" s="8" t="s">
        <v>16</v>
      </c>
      <c r="H8" s="4"/>
      <c r="I8" s="4" t="n">
        <v>0</v>
      </c>
      <c r="J8" s="9"/>
    </row>
    <row r="9" customFormat="false" ht="21.75" hidden="false" customHeight="true" outlineLevel="0" collapsed="false">
      <c r="A9" s="10" t="n">
        <v>6</v>
      </c>
      <c r="B9" s="11" t="s">
        <v>26</v>
      </c>
      <c r="C9" s="12" t="s">
        <v>27</v>
      </c>
      <c r="D9" s="7" t="s">
        <v>14</v>
      </c>
      <c r="E9" s="10" t="s">
        <v>15</v>
      </c>
      <c r="F9" s="10" t="n">
        <v>6</v>
      </c>
      <c r="G9" s="8" t="s">
        <v>16</v>
      </c>
      <c r="H9" s="10"/>
      <c r="I9" s="10" t="n">
        <v>0</v>
      </c>
      <c r="J9" s="13"/>
    </row>
    <row r="10" customFormat="false" ht="21.75" hidden="false" customHeight="true" outlineLevel="0" collapsed="false">
      <c r="A10" s="4" t="n">
        <v>7</v>
      </c>
      <c r="B10" s="5" t="s">
        <v>28</v>
      </c>
      <c r="C10" s="6" t="s">
        <v>29</v>
      </c>
      <c r="D10" s="14" t="s">
        <v>30</v>
      </c>
      <c r="E10" s="4" t="s">
        <v>23</v>
      </c>
      <c r="F10" s="4" t="n">
        <v>7</v>
      </c>
      <c r="G10" s="8" t="s">
        <v>16</v>
      </c>
      <c r="H10" s="4"/>
      <c r="I10" s="4" t="n">
        <v>0</v>
      </c>
      <c r="J10" s="9"/>
    </row>
    <row r="11" customFormat="false" ht="21.75" hidden="false" customHeight="true" outlineLevel="0" collapsed="false">
      <c r="A11" s="10" t="n">
        <v>8</v>
      </c>
      <c r="B11" s="11" t="s">
        <v>31</v>
      </c>
      <c r="C11" s="12" t="s">
        <v>32</v>
      </c>
      <c r="D11" s="14" t="s">
        <v>30</v>
      </c>
      <c r="E11" s="10" t="s">
        <v>33</v>
      </c>
      <c r="F11" s="10" t="n">
        <v>8</v>
      </c>
      <c r="G11" s="8" t="s">
        <v>16</v>
      </c>
      <c r="H11" s="10"/>
      <c r="I11" s="10" t="n">
        <v>0</v>
      </c>
      <c r="J11" s="13"/>
    </row>
    <row r="12" customFormat="false" ht="21.75" hidden="false" customHeight="true" outlineLevel="0" collapsed="false">
      <c r="A12" s="4" t="n">
        <v>9</v>
      </c>
      <c r="B12" s="5" t="s">
        <v>34</v>
      </c>
      <c r="C12" s="6" t="s">
        <v>35</v>
      </c>
      <c r="D12" s="14" t="s">
        <v>30</v>
      </c>
      <c r="E12" s="4" t="s">
        <v>15</v>
      </c>
      <c r="F12" s="4" t="n">
        <v>7</v>
      </c>
      <c r="G12" s="8" t="s">
        <v>16</v>
      </c>
      <c r="H12" s="4"/>
      <c r="I12" s="4" t="n">
        <v>0</v>
      </c>
      <c r="J12" s="9"/>
    </row>
    <row r="13" customFormat="false" ht="21.75" hidden="false" customHeight="true" outlineLevel="0" collapsed="false">
      <c r="A13" s="10" t="n">
        <v>10</v>
      </c>
      <c r="B13" s="11" t="s">
        <v>36</v>
      </c>
      <c r="C13" s="12" t="s">
        <v>37</v>
      </c>
      <c r="D13" s="14" t="s">
        <v>30</v>
      </c>
      <c r="E13" s="10" t="s">
        <v>15</v>
      </c>
      <c r="F13" s="10" t="n">
        <v>7</v>
      </c>
      <c r="G13" s="8" t="s">
        <v>16</v>
      </c>
      <c r="H13" s="10"/>
      <c r="I13" s="10" t="n">
        <v>0</v>
      </c>
      <c r="J13" s="13"/>
    </row>
    <row r="14" customFormat="false" ht="21.75" hidden="false" customHeight="true" outlineLevel="0" collapsed="false">
      <c r="A14" s="4" t="n">
        <v>11</v>
      </c>
      <c r="B14" s="5" t="s">
        <v>38</v>
      </c>
      <c r="C14" s="6" t="s">
        <v>39</v>
      </c>
      <c r="D14" s="14" t="s">
        <v>30</v>
      </c>
      <c r="E14" s="4" t="s">
        <v>40</v>
      </c>
      <c r="F14" s="4" t="n">
        <v>9</v>
      </c>
      <c r="G14" s="8" t="s">
        <v>16</v>
      </c>
      <c r="H14" s="4"/>
      <c r="I14" s="4" t="n">
        <v>0</v>
      </c>
      <c r="J14" s="9"/>
    </row>
    <row r="15" customFormat="false" ht="21.75" hidden="false" customHeight="true" outlineLevel="0" collapsed="false">
      <c r="A15" s="10" t="n">
        <v>12</v>
      </c>
      <c r="B15" s="11" t="s">
        <v>41</v>
      </c>
      <c r="C15" s="12" t="s">
        <v>42</v>
      </c>
      <c r="D15" s="14" t="s">
        <v>30</v>
      </c>
      <c r="E15" s="10" t="s">
        <v>15</v>
      </c>
      <c r="F15" s="10" t="n">
        <v>7</v>
      </c>
      <c r="G15" s="8" t="s">
        <v>16</v>
      </c>
      <c r="H15" s="10"/>
      <c r="I15" s="10" t="n">
        <v>0</v>
      </c>
      <c r="J15" s="13"/>
    </row>
    <row r="16" customFormat="false" ht="21.75" hidden="false" customHeight="true" outlineLevel="0" collapsed="false">
      <c r="A16" s="4" t="n">
        <v>13</v>
      </c>
      <c r="B16" s="5" t="s">
        <v>43</v>
      </c>
      <c r="C16" s="6" t="s">
        <v>44</v>
      </c>
      <c r="D16" s="15" t="s">
        <v>45</v>
      </c>
      <c r="E16" s="4" t="s">
        <v>15</v>
      </c>
      <c r="F16" s="4" t="n">
        <v>7</v>
      </c>
      <c r="G16" s="8" t="s">
        <v>16</v>
      </c>
      <c r="H16" s="4"/>
      <c r="I16" s="4" t="n">
        <v>0</v>
      </c>
      <c r="J16" s="9"/>
    </row>
    <row r="17" customFormat="false" ht="21.75" hidden="false" customHeight="true" outlineLevel="0" collapsed="false">
      <c r="A17" s="10" t="n">
        <v>14</v>
      </c>
      <c r="B17" s="11" t="s">
        <v>46</v>
      </c>
      <c r="C17" s="12" t="s">
        <v>47</v>
      </c>
      <c r="D17" s="15" t="s">
        <v>45</v>
      </c>
      <c r="E17" s="10" t="s">
        <v>33</v>
      </c>
      <c r="F17" s="10" t="n">
        <v>8</v>
      </c>
      <c r="G17" s="8" t="s">
        <v>16</v>
      </c>
      <c r="H17" s="10"/>
      <c r="I17" s="10" t="n">
        <v>0</v>
      </c>
      <c r="J17" s="13"/>
    </row>
    <row r="18" customFormat="false" ht="21.75" hidden="false" customHeight="true" outlineLevel="0" collapsed="false">
      <c r="A18" s="4" t="n">
        <v>15</v>
      </c>
      <c r="B18" s="5" t="s">
        <v>48</v>
      </c>
      <c r="C18" s="6" t="s">
        <v>49</v>
      </c>
      <c r="D18" s="15" t="s">
        <v>45</v>
      </c>
      <c r="E18" s="4" t="s">
        <v>33</v>
      </c>
      <c r="F18" s="4" t="n">
        <v>7</v>
      </c>
      <c r="G18" s="8" t="s">
        <v>16</v>
      </c>
      <c r="H18" s="4"/>
      <c r="I18" s="4" t="n">
        <v>0</v>
      </c>
      <c r="J18" s="9"/>
    </row>
    <row r="20" customFormat="false" ht="21.75" hidden="false" customHeight="true" outlineLevel="0" collapsed="false">
      <c r="B20" s="16" t="s">
        <v>50</v>
      </c>
      <c r="C20" s="16"/>
      <c r="D20" s="16"/>
    </row>
    <row r="21" customFormat="false" ht="21.75" hidden="false" customHeight="true" outlineLevel="0" collapsed="false">
      <c r="C21" s="17" t="s">
        <v>51</v>
      </c>
      <c r="D21" s="18" t="s">
        <v>52</v>
      </c>
      <c r="E21" s="19" t="s">
        <v>53</v>
      </c>
      <c r="F21" s="20" t="s">
        <v>16</v>
      </c>
      <c r="G21" s="21" t="s">
        <v>54</v>
      </c>
      <c r="H21" s="22" t="s">
        <v>55</v>
      </c>
    </row>
    <row r="22" customFormat="false" ht="21.75" hidden="false" customHeight="true" outlineLevel="0" collapsed="false">
      <c r="C22" s="23" t="n">
        <f aca="false">COUNTA(C4:C18)</f>
        <v>15</v>
      </c>
      <c r="D22" s="24" t="n">
        <f aca="false">COUNTIF(G4:G18,"Completed")</f>
        <v>0</v>
      </c>
      <c r="E22" s="25" t="n">
        <f aca="false">COUNTIF(G4:G18,"In Progress")</f>
        <v>0</v>
      </c>
      <c r="F22" s="26" t="n">
        <f aca="false">COUNTIF(G4:G18,"Not Started")</f>
        <v>15</v>
      </c>
      <c r="G22" s="27" t="str">
        <f aca="false">IFERROR(AVERAGEIF(H4:H18,"&lt;&gt;"&amp;"",H4:H18),"-")</f>
        <v>-</v>
      </c>
      <c r="H22" s="28" t="n">
        <f aca="false">SUM(I4:I18)</f>
        <v>0</v>
      </c>
    </row>
    <row r="23" customFormat="false" ht="21.75" hidden="false" customHeight="true" outlineLevel="0" collapsed="false"/>
    <row r="24" customFormat="false" ht="21.75" hidden="false" customHeight="true" outlineLevel="0" collapsed="false">
      <c r="C24" s="29" t="str">
        <f aca="false">IFERROR("✅ Completion: "&amp;TEXT(COUNTIF(G4:G18,"Completed")/15,"0%")&amp;"   ⏳ In Progress: "&amp;TEXT(COUNTIF(G4:G18,"In Progress")/15,"0%")&amp;"   ⬜ Not Started: "&amp;TEXT(COUNTIF(G4:G18,"Not Started")/15,"0%"),"")</f>
        <v>✅ Completion: 0%   ⏳ In Progress: 0%   ⬜ Not Started: 100%</v>
      </c>
      <c r="D24" s="29"/>
      <c r="E24" s="29"/>
      <c r="F24" s="29"/>
      <c r="G24" s="29"/>
      <c r="H24" s="29"/>
      <c r="I24" s="29"/>
      <c r="J24" s="29"/>
    </row>
    <row r="25" customFormat="false" ht="21.75" hidden="false" customHeight="true" outlineLevel="0" collapsed="false"/>
    <row r="26" customFormat="false" ht="21.75" hidden="false" customHeight="true" outlineLevel="0" collapsed="false"/>
  </sheetData>
  <mergeCells count="4">
    <mergeCell ref="A1:J1"/>
    <mergeCell ref="A2:J2"/>
    <mergeCell ref="B20:D20"/>
    <mergeCell ref="C24:J24"/>
  </mergeCells>
  <conditionalFormatting sqref="G4:G18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"Needs Revision"</formula>
    </cfRule>
  </conditionalFormatting>
  <conditionalFormatting sqref="H4:H18">
    <cfRule type="dataBar" priority="5">
      <dataBar showValue="1" minLength="10" maxLength="90">
        <cfvo type="num" val="0"/>
        <cfvo type="num" val="100"/>
        <color rgb="FF1D9E75"/>
      </dataBar>
      <extLst>
        <ext xmlns:x14="http://schemas.microsoft.com/office/spreadsheetml/2009/9/main" uri="{B025F937-C7B1-47D3-B67F-A62EFF666E3E}">
          <x14:id>{E4F67D69-93D1-476A-A236-EA8AE31F4E4F}</x14:id>
        </ext>
      </extLst>
    </cfRule>
  </conditionalFormatting>
  <dataValidations count="1">
    <dataValidation allowBlank="true" errorStyle="stop" operator="between" showDropDown="false" showErrorMessage="false" showInputMessage="false" sqref="G4:G18" type="list">
      <formula1>"Not Started,In Progress,Completed,Needs Revision"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F67D69-93D1-476A-A236-EA8AE31F4E4F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1D9E75"/>
              <x14:axisColor rgb="FF000000"/>
            </x14:dataBar>
          </x14:cfRule>
          <xm:sqref>H4:H18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10" min="3" style="0" width="16"/>
  </cols>
  <sheetData>
    <row r="1" customFormat="false" ht="36" hidden="false" customHeight="true" outlineLevel="0" collapsed="false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19.5" hidden="false" customHeight="true" outlineLevel="0" collapsed="false">
      <c r="A2" s="31" t="s">
        <v>57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27.75" hidden="false" customHeight="true" outlineLevel="0" collapsed="false">
      <c r="A3" s="3" t="s">
        <v>2</v>
      </c>
      <c r="B3" s="32" t="s">
        <v>4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</row>
    <row r="4" customFormat="false" ht="21.75" hidden="false" customHeight="true" outlineLevel="0" collapsed="false">
      <c r="A4" s="5" t="n">
        <v>1</v>
      </c>
      <c r="B4" s="33" t="s">
        <v>13</v>
      </c>
      <c r="C4" s="34" t="n">
        <v>0</v>
      </c>
      <c r="D4" s="34" t="n">
        <v>0</v>
      </c>
      <c r="E4" s="34" t="n">
        <v>0</v>
      </c>
      <c r="F4" s="34" t="n">
        <v>0</v>
      </c>
      <c r="G4" s="34" t="n">
        <v>0</v>
      </c>
      <c r="H4" s="34" t="n">
        <v>0</v>
      </c>
      <c r="I4" s="34" t="n">
        <v>0</v>
      </c>
      <c r="J4" s="34" t="n">
        <v>0</v>
      </c>
    </row>
    <row r="5" customFormat="false" ht="21.75" hidden="false" customHeight="true" outlineLevel="0" collapsed="false">
      <c r="A5" s="11" t="n">
        <v>2</v>
      </c>
      <c r="B5" s="35" t="s">
        <v>18</v>
      </c>
      <c r="C5" s="36" t="n">
        <v>0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0</v>
      </c>
    </row>
    <row r="6" customFormat="false" ht="21.75" hidden="false" customHeight="true" outlineLevel="0" collapsed="false">
      <c r="A6" s="5" t="n">
        <v>3</v>
      </c>
      <c r="B6" s="33" t="s">
        <v>20</v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34" t="n">
        <v>0</v>
      </c>
      <c r="J6" s="34" t="n">
        <v>0</v>
      </c>
    </row>
    <row r="7" customFormat="false" ht="21.75" hidden="false" customHeight="true" outlineLevel="0" collapsed="false">
      <c r="A7" s="11" t="n">
        <v>4</v>
      </c>
      <c r="B7" s="35" t="s">
        <v>22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0</v>
      </c>
    </row>
    <row r="8" customFormat="false" ht="21.75" hidden="false" customHeight="true" outlineLevel="0" collapsed="false">
      <c r="A8" s="5" t="n">
        <v>5</v>
      </c>
      <c r="B8" s="33" t="s">
        <v>25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</row>
    <row r="9" customFormat="false" ht="21.75" hidden="false" customHeight="true" outlineLevel="0" collapsed="false">
      <c r="A9" s="11" t="n">
        <v>6</v>
      </c>
      <c r="B9" s="35" t="s">
        <v>27</v>
      </c>
      <c r="C9" s="36" t="n">
        <v>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</row>
    <row r="10" customFormat="false" ht="21.75" hidden="false" customHeight="true" outlineLevel="0" collapsed="false">
      <c r="A10" s="5" t="n">
        <v>7</v>
      </c>
      <c r="B10" s="33" t="s">
        <v>29</v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</row>
    <row r="11" customFormat="false" ht="21.75" hidden="false" customHeight="true" outlineLevel="0" collapsed="false">
      <c r="A11" s="11" t="n">
        <v>8</v>
      </c>
      <c r="B11" s="35" t="s">
        <v>32</v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</row>
    <row r="12" customFormat="false" ht="21.75" hidden="false" customHeight="true" outlineLevel="0" collapsed="false">
      <c r="A12" s="5" t="n">
        <v>9</v>
      </c>
      <c r="B12" s="33" t="s">
        <v>35</v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</row>
    <row r="13" customFormat="false" ht="21.75" hidden="false" customHeight="true" outlineLevel="0" collapsed="false">
      <c r="A13" s="11" t="n">
        <v>10</v>
      </c>
      <c r="B13" s="35" t="s">
        <v>37</v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</row>
    <row r="14" customFormat="false" ht="21.75" hidden="false" customHeight="true" outlineLevel="0" collapsed="false">
      <c r="A14" s="5" t="n">
        <v>11</v>
      </c>
      <c r="B14" s="33" t="s">
        <v>39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</row>
    <row r="15" customFormat="false" ht="21.75" hidden="false" customHeight="true" outlineLevel="0" collapsed="false">
      <c r="A15" s="11" t="n">
        <v>12</v>
      </c>
      <c r="B15" s="35" t="s">
        <v>42</v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 t="n">
        <v>0</v>
      </c>
      <c r="I15" s="36" t="n">
        <v>0</v>
      </c>
      <c r="J15" s="36" t="n">
        <v>0</v>
      </c>
    </row>
    <row r="16" customFormat="false" ht="21.75" hidden="false" customHeight="true" outlineLevel="0" collapsed="false">
      <c r="A16" s="5" t="n">
        <v>13</v>
      </c>
      <c r="B16" s="33" t="s">
        <v>44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</row>
    <row r="17" customFormat="false" ht="21.75" hidden="false" customHeight="true" outlineLevel="0" collapsed="false">
      <c r="A17" s="11" t="n">
        <v>14</v>
      </c>
      <c r="B17" s="35" t="s">
        <v>47</v>
      </c>
      <c r="C17" s="36" t="n">
        <v>0</v>
      </c>
      <c r="D17" s="36" t="n">
        <v>0</v>
      </c>
      <c r="E17" s="36" t="n">
        <v>0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</row>
    <row r="18" customFormat="false" ht="21.75" hidden="false" customHeight="true" outlineLevel="0" collapsed="false">
      <c r="A18" s="5" t="n">
        <v>15</v>
      </c>
      <c r="B18" s="33" t="s">
        <v>49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</row>
    <row r="19" customFormat="false" ht="25.5" hidden="false" customHeight="true" outlineLevel="0" collapsed="false">
      <c r="B19" s="37" t="s">
        <v>66</v>
      </c>
      <c r="C19" s="38" t="n">
        <f aca="false">COUNTIF(C4:C18,2)</f>
        <v>0</v>
      </c>
      <c r="D19" s="38" t="n">
        <f aca="false">COUNTIF(D4:D18,2)</f>
        <v>0</v>
      </c>
      <c r="E19" s="38" t="n">
        <f aca="false">COUNTIF(E4:E18,2)</f>
        <v>0</v>
      </c>
      <c r="F19" s="38" t="n">
        <f aca="false">COUNTIF(F4:F18,2)</f>
        <v>0</v>
      </c>
      <c r="G19" s="38" t="n">
        <f aca="false">COUNTIF(G4:G18,2)</f>
        <v>0</v>
      </c>
      <c r="H19" s="38" t="n">
        <f aca="false">COUNTIF(H4:H18,2)</f>
        <v>0</v>
      </c>
      <c r="I19" s="38" t="n">
        <f aca="false">COUNTIF(I4:I18,2)</f>
        <v>0</v>
      </c>
      <c r="J19" s="38" t="n">
        <f aca="false">COUNTIF(J4:J18,2)</f>
        <v>0</v>
      </c>
    </row>
    <row r="20" customFormat="false" ht="21.75" hidden="false" customHeight="true" outlineLevel="0" collapsed="false">
      <c r="B20" s="39" t="s">
        <v>67</v>
      </c>
      <c r="C20" s="40" t="n">
        <f aca="false">IFERROR(C19/15,0)</f>
        <v>0</v>
      </c>
      <c r="D20" s="40" t="n">
        <f aca="false">IFERROR(D19/15,0)</f>
        <v>0</v>
      </c>
      <c r="E20" s="40" t="n">
        <f aca="false">IFERROR(E19/15,0)</f>
        <v>0</v>
      </c>
      <c r="F20" s="40" t="n">
        <f aca="false">IFERROR(F19/15,0)</f>
        <v>0</v>
      </c>
      <c r="G20" s="40" t="n">
        <f aca="false">IFERROR(G19/15,0)</f>
        <v>0</v>
      </c>
      <c r="H20" s="40" t="n">
        <f aca="false">IFERROR(H19/15,0)</f>
        <v>0</v>
      </c>
      <c r="I20" s="40" t="n">
        <f aca="false">IFERROR(I19/15,0)</f>
        <v>0</v>
      </c>
      <c r="J20" s="40" t="n">
        <f aca="false">IFERROR(J19/15,0)</f>
        <v>0</v>
      </c>
    </row>
  </sheetData>
  <mergeCells count="2">
    <mergeCell ref="A1:J1"/>
    <mergeCell ref="A2:J2"/>
  </mergeCells>
  <conditionalFormatting sqref="C4:J18">
    <cfRule type="cellIs" priority="2" operator="equal" aboveAverage="0" equalAverage="0" bottom="0" percent="0" rank="0" text="" dxfId="3">
      <formula>2</formula>
    </cfRule>
    <cfRule type="cellIs" priority="3" operator="equal" aboveAverage="0" equalAverage="0" bottom="0" percent="0" rank="0" text="" dxfId="4">
      <formula>1</formula>
    </cfRule>
    <cfRule type="cellIs" priority="4" operator="equal" aboveAverage="0" equalAverage="0" bottom="0" percent="0" rank="0" text="" dxfId="5">
      <formula>3</formula>
    </cfRule>
    <cfRule type="cellIs" priority="5" operator="equal" aboveAverage="0" equalAverage="0" bottom="0" percent="0" rank="0" text="" dxfId="6">
      <formula>0</formula>
    </cfRule>
  </conditionalFormatting>
  <conditionalFormatting sqref="C20:J20">
    <cfRule type="dataBar" priority="6">
      <dataBar showValue="1" minLength="10" maxLength="90">
        <cfvo type="num" val="0"/>
        <cfvo type="num" val="1"/>
        <color rgb="FF1D9E75"/>
      </dataBar>
      <extLst>
        <ext xmlns:x14="http://schemas.microsoft.com/office/spreadsheetml/2009/9/main" uri="{B025F937-C7B1-47D3-B67F-A62EFF666E3E}">
          <x14:id>{3F2B8423-9586-42E4-B889-7D41EFB1D3E0}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2B8423-9586-42E4-B889-7D41EFB1D3E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D9E75"/>
              <x14:axisColor rgb="FF000000"/>
            </x14:dataBar>
          </x14:cfRule>
          <xm:sqref>C20:J20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50"/>
    <col collapsed="false" customWidth="true" hidden="false" outlineLevel="0" max="10" min="9" style="0" width="40"/>
  </cols>
  <sheetData>
    <row r="1" customFormat="false" ht="36" hidden="false" customHeight="true" outlineLevel="0" collapsed="false">
      <c r="A1" s="41" t="s">
        <v>68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19.5" hidden="false" customHeight="true" outlineLevel="0" collapsed="false">
      <c r="A2" s="42" t="s">
        <v>69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27.75" hidden="false" customHeight="true" outlineLevel="0" collapsed="false">
      <c r="A3" s="43" t="s">
        <v>2</v>
      </c>
      <c r="B3" s="43" t="s">
        <v>3</v>
      </c>
      <c r="C3" s="44" t="s">
        <v>70</v>
      </c>
      <c r="D3" s="43" t="s">
        <v>5</v>
      </c>
      <c r="E3" s="43" t="s">
        <v>6</v>
      </c>
      <c r="F3" s="43" t="s">
        <v>71</v>
      </c>
      <c r="G3" s="43" t="s">
        <v>72</v>
      </c>
      <c r="H3" s="43" t="s">
        <v>73</v>
      </c>
      <c r="I3" s="43" t="s">
        <v>74</v>
      </c>
      <c r="J3" s="43" t="s">
        <v>75</v>
      </c>
    </row>
    <row r="4" customFormat="false" ht="90" hidden="false" customHeight="true" outlineLevel="0" collapsed="false">
      <c r="A4" s="45" t="n">
        <v>1</v>
      </c>
      <c r="B4" s="45" t="s">
        <v>12</v>
      </c>
      <c r="C4" s="46" t="s">
        <v>13</v>
      </c>
      <c r="D4" s="47" t="s">
        <v>14</v>
      </c>
      <c r="E4" s="48" t="s">
        <v>15</v>
      </c>
      <c r="F4" s="48" t="s">
        <v>76</v>
      </c>
      <c r="G4" s="49" t="s">
        <v>77</v>
      </c>
      <c r="H4" s="50" t="s">
        <v>78</v>
      </c>
      <c r="I4" s="51" t="s">
        <v>79</v>
      </c>
      <c r="J4" s="52" t="s">
        <v>80</v>
      </c>
    </row>
    <row r="5" customFormat="false" ht="90" hidden="false" customHeight="true" outlineLevel="0" collapsed="false">
      <c r="A5" s="53" t="n">
        <v>2</v>
      </c>
      <c r="B5" s="53" t="s">
        <v>17</v>
      </c>
      <c r="C5" s="54" t="s">
        <v>18</v>
      </c>
      <c r="D5" s="47" t="s">
        <v>14</v>
      </c>
      <c r="E5" s="55" t="s">
        <v>15</v>
      </c>
      <c r="F5" s="55" t="s">
        <v>81</v>
      </c>
      <c r="G5" s="49" t="s">
        <v>82</v>
      </c>
      <c r="H5" s="50" t="s">
        <v>83</v>
      </c>
      <c r="I5" s="51" t="s">
        <v>84</v>
      </c>
      <c r="J5" s="52" t="s">
        <v>85</v>
      </c>
    </row>
    <row r="6" customFormat="false" ht="90" hidden="false" customHeight="true" outlineLevel="0" collapsed="false">
      <c r="A6" s="45" t="n">
        <v>3</v>
      </c>
      <c r="B6" s="45" t="s">
        <v>19</v>
      </c>
      <c r="C6" s="46" t="s">
        <v>20</v>
      </c>
      <c r="D6" s="47" t="s">
        <v>14</v>
      </c>
      <c r="E6" s="48" t="s">
        <v>15</v>
      </c>
      <c r="F6" s="48" t="s">
        <v>86</v>
      </c>
      <c r="G6" s="49" t="s">
        <v>87</v>
      </c>
      <c r="H6" s="50" t="s">
        <v>88</v>
      </c>
      <c r="I6" s="51" t="s">
        <v>89</v>
      </c>
      <c r="J6" s="52" t="s">
        <v>90</v>
      </c>
    </row>
    <row r="7" customFormat="false" ht="90" hidden="false" customHeight="true" outlineLevel="0" collapsed="false">
      <c r="A7" s="53" t="n">
        <v>4</v>
      </c>
      <c r="B7" s="53" t="s">
        <v>21</v>
      </c>
      <c r="C7" s="54" t="s">
        <v>22</v>
      </c>
      <c r="D7" s="47" t="s">
        <v>14</v>
      </c>
      <c r="E7" s="55" t="s">
        <v>23</v>
      </c>
      <c r="F7" s="55" t="s">
        <v>91</v>
      </c>
      <c r="G7" s="49" t="s">
        <v>92</v>
      </c>
      <c r="H7" s="50" t="s">
        <v>93</v>
      </c>
      <c r="I7" s="51" t="s">
        <v>94</v>
      </c>
      <c r="J7" s="52" t="s">
        <v>95</v>
      </c>
    </row>
    <row r="8" customFormat="false" ht="90" hidden="false" customHeight="true" outlineLevel="0" collapsed="false">
      <c r="A8" s="45" t="n">
        <v>5</v>
      </c>
      <c r="B8" s="45" t="s">
        <v>24</v>
      </c>
      <c r="C8" s="46" t="s">
        <v>25</v>
      </c>
      <c r="D8" s="47" t="s">
        <v>14</v>
      </c>
      <c r="E8" s="48" t="s">
        <v>23</v>
      </c>
      <c r="F8" s="48" t="s">
        <v>96</v>
      </c>
      <c r="G8" s="49" t="s">
        <v>97</v>
      </c>
      <c r="H8" s="50" t="s">
        <v>98</v>
      </c>
      <c r="I8" s="51" t="s">
        <v>99</v>
      </c>
      <c r="J8" s="52" t="s">
        <v>100</v>
      </c>
    </row>
    <row r="9" customFormat="false" ht="90" hidden="false" customHeight="true" outlineLevel="0" collapsed="false">
      <c r="A9" s="53" t="n">
        <v>6</v>
      </c>
      <c r="B9" s="53" t="s">
        <v>26</v>
      </c>
      <c r="C9" s="54" t="s">
        <v>27</v>
      </c>
      <c r="D9" s="47" t="s">
        <v>14</v>
      </c>
      <c r="E9" s="55" t="s">
        <v>15</v>
      </c>
      <c r="F9" s="55" t="s">
        <v>101</v>
      </c>
      <c r="G9" s="49" t="s">
        <v>102</v>
      </c>
      <c r="H9" s="50" t="s">
        <v>103</v>
      </c>
      <c r="I9" s="51" t="s">
        <v>104</v>
      </c>
      <c r="J9" s="52" t="s">
        <v>105</v>
      </c>
    </row>
    <row r="10" customFormat="false" ht="90" hidden="false" customHeight="true" outlineLevel="0" collapsed="false">
      <c r="A10" s="45" t="n">
        <v>7</v>
      </c>
      <c r="B10" s="45" t="s">
        <v>28</v>
      </c>
      <c r="C10" s="46" t="s">
        <v>29</v>
      </c>
      <c r="D10" s="56" t="s">
        <v>30</v>
      </c>
      <c r="E10" s="48" t="s">
        <v>23</v>
      </c>
      <c r="F10" s="48" t="s">
        <v>106</v>
      </c>
      <c r="G10" s="49" t="s">
        <v>107</v>
      </c>
      <c r="H10" s="50" t="s">
        <v>108</v>
      </c>
      <c r="I10" s="51" t="s">
        <v>109</v>
      </c>
      <c r="J10" s="52" t="s">
        <v>110</v>
      </c>
    </row>
    <row r="11" customFormat="false" ht="90" hidden="false" customHeight="true" outlineLevel="0" collapsed="false">
      <c r="A11" s="53" t="n">
        <v>8</v>
      </c>
      <c r="B11" s="53" t="s">
        <v>31</v>
      </c>
      <c r="C11" s="54" t="s">
        <v>32</v>
      </c>
      <c r="D11" s="56" t="s">
        <v>30</v>
      </c>
      <c r="E11" s="55" t="s">
        <v>33</v>
      </c>
      <c r="F11" s="55" t="s">
        <v>111</v>
      </c>
      <c r="G11" s="49" t="s">
        <v>112</v>
      </c>
      <c r="H11" s="50" t="s">
        <v>113</v>
      </c>
      <c r="I11" s="51" t="s">
        <v>114</v>
      </c>
      <c r="J11" s="52" t="s">
        <v>115</v>
      </c>
    </row>
    <row r="12" customFormat="false" ht="90" hidden="false" customHeight="true" outlineLevel="0" collapsed="false">
      <c r="A12" s="45" t="n">
        <v>9</v>
      </c>
      <c r="B12" s="45" t="s">
        <v>34</v>
      </c>
      <c r="C12" s="46" t="s">
        <v>35</v>
      </c>
      <c r="D12" s="56" t="s">
        <v>30</v>
      </c>
      <c r="E12" s="48" t="s">
        <v>15</v>
      </c>
      <c r="F12" s="48" t="s">
        <v>116</v>
      </c>
      <c r="G12" s="49" t="s">
        <v>117</v>
      </c>
      <c r="H12" s="50" t="s">
        <v>118</v>
      </c>
      <c r="I12" s="51" t="s">
        <v>119</v>
      </c>
      <c r="J12" s="52" t="s">
        <v>120</v>
      </c>
    </row>
    <row r="13" customFormat="false" ht="90" hidden="false" customHeight="true" outlineLevel="0" collapsed="false">
      <c r="A13" s="53" t="n">
        <v>10</v>
      </c>
      <c r="B13" s="53" t="s">
        <v>36</v>
      </c>
      <c r="C13" s="54" t="s">
        <v>37</v>
      </c>
      <c r="D13" s="56" t="s">
        <v>30</v>
      </c>
      <c r="E13" s="55" t="s">
        <v>15</v>
      </c>
      <c r="F13" s="55" t="s">
        <v>121</v>
      </c>
      <c r="G13" s="49" t="s">
        <v>122</v>
      </c>
      <c r="H13" s="50" t="s">
        <v>123</v>
      </c>
      <c r="I13" s="51" t="s">
        <v>124</v>
      </c>
      <c r="J13" s="52" t="s">
        <v>125</v>
      </c>
    </row>
    <row r="14" customFormat="false" ht="90" hidden="false" customHeight="true" outlineLevel="0" collapsed="false">
      <c r="A14" s="45" t="n">
        <v>11</v>
      </c>
      <c r="B14" s="45" t="s">
        <v>38</v>
      </c>
      <c r="C14" s="46" t="s">
        <v>39</v>
      </c>
      <c r="D14" s="56" t="s">
        <v>30</v>
      </c>
      <c r="E14" s="48" t="s">
        <v>40</v>
      </c>
      <c r="F14" s="48" t="s">
        <v>126</v>
      </c>
      <c r="G14" s="49" t="s">
        <v>127</v>
      </c>
      <c r="H14" s="50" t="s">
        <v>128</v>
      </c>
      <c r="I14" s="51" t="s">
        <v>129</v>
      </c>
      <c r="J14" s="52" t="s">
        <v>130</v>
      </c>
    </row>
    <row r="15" customFormat="false" ht="90" hidden="false" customHeight="true" outlineLevel="0" collapsed="false">
      <c r="A15" s="53" t="n">
        <v>12</v>
      </c>
      <c r="B15" s="53" t="s">
        <v>41</v>
      </c>
      <c r="C15" s="54" t="s">
        <v>42</v>
      </c>
      <c r="D15" s="56" t="s">
        <v>30</v>
      </c>
      <c r="E15" s="55" t="s">
        <v>15</v>
      </c>
      <c r="F15" s="55" t="s">
        <v>131</v>
      </c>
      <c r="G15" s="49" t="s">
        <v>132</v>
      </c>
      <c r="H15" s="50" t="s">
        <v>133</v>
      </c>
      <c r="I15" s="51" t="s">
        <v>134</v>
      </c>
      <c r="J15" s="52" t="s">
        <v>135</v>
      </c>
    </row>
    <row r="16" customFormat="false" ht="90" hidden="false" customHeight="true" outlineLevel="0" collapsed="false">
      <c r="A16" s="45" t="n">
        <v>13</v>
      </c>
      <c r="B16" s="45" t="s">
        <v>43</v>
      </c>
      <c r="C16" s="46" t="s">
        <v>44</v>
      </c>
      <c r="D16" s="57" t="s">
        <v>45</v>
      </c>
      <c r="E16" s="48" t="s">
        <v>15</v>
      </c>
      <c r="F16" s="48" t="s">
        <v>136</v>
      </c>
      <c r="G16" s="49" t="s">
        <v>137</v>
      </c>
      <c r="H16" s="50" t="s">
        <v>138</v>
      </c>
      <c r="I16" s="51" t="s">
        <v>139</v>
      </c>
      <c r="J16" s="52" t="s">
        <v>140</v>
      </c>
    </row>
    <row r="17" customFormat="false" ht="90" hidden="false" customHeight="true" outlineLevel="0" collapsed="false">
      <c r="A17" s="53" t="n">
        <v>14</v>
      </c>
      <c r="B17" s="53" t="s">
        <v>46</v>
      </c>
      <c r="C17" s="54" t="s">
        <v>47</v>
      </c>
      <c r="D17" s="57" t="s">
        <v>45</v>
      </c>
      <c r="E17" s="55" t="s">
        <v>33</v>
      </c>
      <c r="F17" s="55" t="s">
        <v>141</v>
      </c>
      <c r="G17" s="49" t="s">
        <v>142</v>
      </c>
      <c r="H17" s="50" t="s">
        <v>143</v>
      </c>
      <c r="I17" s="51" t="s">
        <v>144</v>
      </c>
      <c r="J17" s="52" t="s">
        <v>145</v>
      </c>
    </row>
    <row r="18" customFormat="false" ht="90" hidden="false" customHeight="true" outlineLevel="0" collapsed="false">
      <c r="A18" s="45" t="n">
        <v>15</v>
      </c>
      <c r="B18" s="45" t="s">
        <v>48</v>
      </c>
      <c r="C18" s="46" t="s">
        <v>49</v>
      </c>
      <c r="D18" s="57" t="s">
        <v>45</v>
      </c>
      <c r="E18" s="48" t="s">
        <v>33</v>
      </c>
      <c r="F18" s="48" t="s">
        <v>146</v>
      </c>
      <c r="G18" s="49" t="s">
        <v>147</v>
      </c>
      <c r="H18" s="50" t="s">
        <v>148</v>
      </c>
      <c r="I18" s="51" t="s">
        <v>149</v>
      </c>
      <c r="J18" s="52" t="s">
        <v>150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6" min="3" style="0" width="40"/>
  </cols>
  <sheetData>
    <row r="1" customFormat="false" ht="36" hidden="false" customHeight="true" outlineLevel="0" collapsed="false">
      <c r="A1" s="58" t="s">
        <v>151</v>
      </c>
      <c r="B1" s="58"/>
      <c r="C1" s="58"/>
      <c r="D1" s="58"/>
      <c r="E1" s="58"/>
      <c r="F1" s="58"/>
    </row>
    <row r="2" customFormat="false" ht="19.5" hidden="false" customHeight="true" outlineLevel="0" collapsed="false">
      <c r="A2" s="59" t="s">
        <v>152</v>
      </c>
      <c r="B2" s="59"/>
      <c r="C2" s="59"/>
      <c r="D2" s="59"/>
      <c r="E2" s="59"/>
      <c r="F2" s="59"/>
    </row>
    <row r="3" customFormat="false" ht="27.75" hidden="false" customHeight="true" outlineLevel="0" collapsed="false">
      <c r="A3" s="60" t="s">
        <v>2</v>
      </c>
      <c r="B3" s="60" t="s">
        <v>153</v>
      </c>
      <c r="C3" s="60" t="s">
        <v>154</v>
      </c>
      <c r="D3" s="60" t="s">
        <v>155</v>
      </c>
      <c r="E3" s="60" t="s">
        <v>156</v>
      </c>
      <c r="F3" s="60" t="s">
        <v>157</v>
      </c>
    </row>
    <row r="4" customFormat="false" ht="54.75" hidden="false" customHeight="true" outlineLevel="0" collapsed="false">
      <c r="A4" s="61" t="n">
        <v>1</v>
      </c>
      <c r="B4" s="62" t="s">
        <v>158</v>
      </c>
      <c r="C4" s="63" t="s">
        <v>159</v>
      </c>
      <c r="D4" s="63" t="s">
        <v>160</v>
      </c>
      <c r="E4" s="64" t="s">
        <v>161</v>
      </c>
      <c r="F4" s="63" t="s">
        <v>162</v>
      </c>
    </row>
    <row r="5" customFormat="false" ht="54.75" hidden="false" customHeight="true" outlineLevel="0" collapsed="false">
      <c r="A5" s="65" t="n">
        <v>2</v>
      </c>
      <c r="B5" s="66" t="s">
        <v>163</v>
      </c>
      <c r="C5" s="9" t="s">
        <v>164</v>
      </c>
      <c r="D5" s="9" t="s">
        <v>165</v>
      </c>
      <c r="E5" s="67" t="s">
        <v>166</v>
      </c>
      <c r="F5" s="9" t="s">
        <v>167</v>
      </c>
    </row>
    <row r="6" customFormat="false" ht="54.75" hidden="false" customHeight="true" outlineLevel="0" collapsed="false">
      <c r="A6" s="68" t="n">
        <v>3</v>
      </c>
      <c r="B6" s="69" t="s">
        <v>168</v>
      </c>
      <c r="C6" s="70" t="s">
        <v>169</v>
      </c>
      <c r="D6" s="70" t="s">
        <v>170</v>
      </c>
      <c r="E6" s="71" t="s">
        <v>171</v>
      </c>
      <c r="F6" s="70" t="s">
        <v>172</v>
      </c>
    </row>
    <row r="7" customFormat="false" ht="54.75" hidden="false" customHeight="true" outlineLevel="0" collapsed="false">
      <c r="A7" s="72" t="n">
        <v>4</v>
      </c>
      <c r="B7" s="73" t="s">
        <v>173</v>
      </c>
      <c r="C7" s="74" t="s">
        <v>174</v>
      </c>
      <c r="D7" s="74" t="s">
        <v>175</v>
      </c>
      <c r="E7" s="75" t="s">
        <v>176</v>
      </c>
      <c r="F7" s="74" t="s">
        <v>177</v>
      </c>
    </row>
    <row r="8" customFormat="false" ht="54.75" hidden="false" customHeight="true" outlineLevel="0" collapsed="false">
      <c r="A8" s="76" t="n">
        <v>5</v>
      </c>
      <c r="B8" s="77" t="s">
        <v>178</v>
      </c>
      <c r="C8" s="78" t="s">
        <v>179</v>
      </c>
      <c r="D8" s="78" t="s">
        <v>180</v>
      </c>
      <c r="E8" s="79" t="s">
        <v>181</v>
      </c>
      <c r="F8" s="78" t="s">
        <v>182</v>
      </c>
    </row>
    <row r="9" customFormat="false" ht="54.75" hidden="false" customHeight="true" outlineLevel="0" collapsed="false">
      <c r="A9" s="80" t="n">
        <v>6</v>
      </c>
      <c r="B9" s="81" t="s">
        <v>183</v>
      </c>
      <c r="C9" s="82" t="s">
        <v>184</v>
      </c>
      <c r="D9" s="82" t="s">
        <v>185</v>
      </c>
      <c r="E9" s="83" t="s">
        <v>186</v>
      </c>
      <c r="F9" s="82" t="s">
        <v>187</v>
      </c>
    </row>
    <row r="10" customFormat="false" ht="54.75" hidden="false" customHeight="true" outlineLevel="0" collapsed="false">
      <c r="A10" s="84" t="n">
        <v>7</v>
      </c>
      <c r="B10" s="85" t="s">
        <v>188</v>
      </c>
      <c r="C10" s="13" t="s">
        <v>189</v>
      </c>
      <c r="D10" s="13" t="s">
        <v>190</v>
      </c>
      <c r="E10" s="86" t="s">
        <v>191</v>
      </c>
      <c r="F10" s="13" t="s">
        <v>192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3C1D"/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50"/>
    <col collapsed="false" customWidth="true" hidden="false" outlineLevel="0" max="7" min="6" style="0" width="16"/>
  </cols>
  <sheetData>
    <row r="1" customFormat="false" ht="36" hidden="false" customHeight="true" outlineLevel="0" collapsed="false">
      <c r="A1" s="87" t="s">
        <v>193</v>
      </c>
      <c r="B1" s="87"/>
      <c r="C1" s="87"/>
      <c r="D1" s="87"/>
      <c r="E1" s="87"/>
      <c r="F1" s="87"/>
      <c r="G1" s="87"/>
    </row>
    <row r="2" customFormat="false" ht="19.5" hidden="false" customHeight="true" outlineLevel="0" collapsed="false">
      <c r="A2" s="88" t="s">
        <v>194</v>
      </c>
      <c r="B2" s="88"/>
      <c r="C2" s="88"/>
      <c r="D2" s="88"/>
      <c r="E2" s="88"/>
      <c r="F2" s="88"/>
      <c r="G2" s="88"/>
    </row>
    <row r="3" customFormat="false" ht="27.75" hidden="false" customHeight="true" outlineLevel="0" collapsed="false">
      <c r="A3" s="89" t="s">
        <v>2</v>
      </c>
      <c r="B3" s="89" t="s">
        <v>195</v>
      </c>
      <c r="C3" s="89" t="s">
        <v>196</v>
      </c>
      <c r="D3" s="89" t="s">
        <v>197</v>
      </c>
      <c r="E3" s="89" t="s">
        <v>198</v>
      </c>
      <c r="F3" s="89" t="s">
        <v>199</v>
      </c>
      <c r="G3" s="89" t="s">
        <v>8</v>
      </c>
    </row>
    <row r="4" customFormat="false" ht="79.5" hidden="false" customHeight="true" outlineLevel="0" collapsed="false">
      <c r="A4" s="90" t="n">
        <v>1</v>
      </c>
      <c r="B4" s="91" t="s">
        <v>200</v>
      </c>
      <c r="C4" s="92" t="s">
        <v>201</v>
      </c>
      <c r="D4" s="91" t="s">
        <v>202</v>
      </c>
      <c r="E4" s="91" t="s">
        <v>203</v>
      </c>
      <c r="F4" s="93" t="s">
        <v>204</v>
      </c>
      <c r="G4" s="93" t="s">
        <v>205</v>
      </c>
    </row>
    <row r="5" customFormat="false" ht="79.5" hidden="false" customHeight="true" outlineLevel="0" collapsed="false">
      <c r="A5" s="94" t="n">
        <v>2</v>
      </c>
      <c r="B5" s="95" t="s">
        <v>206</v>
      </c>
      <c r="C5" s="96" t="s">
        <v>207</v>
      </c>
      <c r="D5" s="95" t="s">
        <v>208</v>
      </c>
      <c r="E5" s="95" t="s">
        <v>209</v>
      </c>
      <c r="F5" s="97" t="s">
        <v>204</v>
      </c>
      <c r="G5" s="97" t="s">
        <v>205</v>
      </c>
    </row>
    <row r="6" customFormat="false" ht="79.5" hidden="false" customHeight="true" outlineLevel="0" collapsed="false">
      <c r="A6" s="98" t="n">
        <v>3</v>
      </c>
      <c r="B6" s="99" t="s">
        <v>210</v>
      </c>
      <c r="C6" s="100" t="s">
        <v>211</v>
      </c>
      <c r="D6" s="99" t="s">
        <v>212</v>
      </c>
      <c r="E6" s="99" t="s">
        <v>213</v>
      </c>
      <c r="F6" s="101" t="s">
        <v>214</v>
      </c>
      <c r="G6" s="101" t="s">
        <v>205</v>
      </c>
    </row>
    <row r="7" customFormat="false" ht="79.5" hidden="false" customHeight="true" outlineLevel="0" collapsed="false">
      <c r="A7" s="102" t="n">
        <v>4</v>
      </c>
      <c r="B7" s="103" t="s">
        <v>215</v>
      </c>
      <c r="C7" s="104" t="s">
        <v>216</v>
      </c>
      <c r="D7" s="103" t="s">
        <v>217</v>
      </c>
      <c r="E7" s="103" t="s">
        <v>218</v>
      </c>
      <c r="F7" s="105" t="s">
        <v>214</v>
      </c>
      <c r="G7" s="105" t="s">
        <v>205</v>
      </c>
    </row>
    <row r="8" customFormat="false" ht="79.5" hidden="false" customHeight="true" outlineLevel="0" collapsed="false">
      <c r="A8" s="106" t="n">
        <v>5</v>
      </c>
      <c r="B8" s="107" t="s">
        <v>219</v>
      </c>
      <c r="C8" s="108" t="s">
        <v>220</v>
      </c>
      <c r="D8" s="107" t="s">
        <v>221</v>
      </c>
      <c r="E8" s="107" t="s">
        <v>222</v>
      </c>
      <c r="F8" s="109" t="s">
        <v>223</v>
      </c>
      <c r="G8" s="109" t="s">
        <v>205</v>
      </c>
    </row>
  </sheetData>
  <mergeCells count="2">
    <mergeCell ref="A1:G1"/>
    <mergeCell ref="A2:G2"/>
  </mergeCells>
  <conditionalFormatting sqref="G4:G8">
    <cfRule type="cellIs" priority="2" operator="equal" aboveAverage="0" equalAverage="0" bottom="0" percent="0" rank="0" text="" dxfId="3">
      <formula>"Passed"</formula>
    </cfRule>
    <cfRule type="cellIs" priority="3" operator="equal" aboveAverage="0" equalAverage="0" bottom="0" percent="0" rank="0" text="" dxfId="5">
      <formula>"Failed"</formula>
    </cfRule>
    <cfRule type="cellIs" priority="4" operator="equal" aboveAverage="0" equalAverage="0" bottom="0" percent="0" rank="0" text="" dxfId="4">
      <formula>"In Progress"</formula>
    </cfRule>
  </conditionalFormatting>
  <dataValidations count="1">
    <dataValidation allowBlank="true" errorStyle="stop" operator="between" showDropDown="false" showErrorMessage="false" showInputMessage="false" sqref="G4:G8" type="list">
      <formula1>"Not Done,In Progress,Passed,Failed"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5041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7" min="6" style="0" width="18"/>
  </cols>
  <sheetData>
    <row r="1" customFormat="false" ht="36" hidden="false" customHeight="true" outlineLevel="0" collapsed="false">
      <c r="A1" s="110" t="s">
        <v>224</v>
      </c>
      <c r="B1" s="110"/>
      <c r="C1" s="110"/>
      <c r="D1" s="110"/>
      <c r="E1" s="110"/>
      <c r="F1" s="110"/>
      <c r="G1" s="110"/>
    </row>
    <row r="2" customFormat="false" ht="19.5" hidden="false" customHeight="true" outlineLevel="0" collapsed="false">
      <c r="A2" s="111" t="s">
        <v>225</v>
      </c>
      <c r="B2" s="111"/>
      <c r="C2" s="111"/>
      <c r="D2" s="111"/>
      <c r="E2" s="111"/>
      <c r="F2" s="111"/>
      <c r="G2" s="111"/>
    </row>
    <row r="3" customFormat="false" ht="27.75" hidden="false" customHeight="true" outlineLevel="0" collapsed="false">
      <c r="A3" s="3" t="s">
        <v>2</v>
      </c>
      <c r="B3" s="3" t="s">
        <v>226</v>
      </c>
      <c r="C3" s="3" t="s">
        <v>227</v>
      </c>
      <c r="D3" s="3" t="s">
        <v>228</v>
      </c>
      <c r="E3" s="3" t="s">
        <v>229</v>
      </c>
      <c r="F3" s="3" t="s">
        <v>230</v>
      </c>
      <c r="G3" s="3" t="s">
        <v>8</v>
      </c>
    </row>
    <row r="4" customFormat="false" ht="75" hidden="false" customHeight="true" outlineLevel="0" collapsed="false">
      <c r="A4" s="90" t="n">
        <v>1</v>
      </c>
      <c r="B4" s="92" t="s">
        <v>231</v>
      </c>
      <c r="C4" s="91" t="s">
        <v>232</v>
      </c>
      <c r="D4" s="91" t="s">
        <v>233</v>
      </c>
      <c r="E4" s="93" t="s">
        <v>30</v>
      </c>
    </row>
    <row r="5" customFormat="false" ht="75" hidden="false" customHeight="true" outlineLevel="0" collapsed="false">
      <c r="A5" s="102" t="n">
        <v>2</v>
      </c>
      <c r="B5" s="104" t="s">
        <v>234</v>
      </c>
      <c r="C5" s="103" t="s">
        <v>235</v>
      </c>
      <c r="D5" s="103" t="s">
        <v>236</v>
      </c>
      <c r="E5" s="105" t="s">
        <v>30</v>
      </c>
    </row>
    <row r="6" customFormat="false" ht="75" hidden="false" customHeight="true" outlineLevel="0" collapsed="false">
      <c r="A6" s="94" t="n">
        <v>3</v>
      </c>
      <c r="B6" s="96" t="s">
        <v>237</v>
      </c>
      <c r="C6" s="95" t="s">
        <v>238</v>
      </c>
      <c r="D6" s="95" t="s">
        <v>239</v>
      </c>
      <c r="E6" s="97" t="s">
        <v>240</v>
      </c>
    </row>
    <row r="7" customFormat="false" ht="75" hidden="false" customHeight="true" outlineLevel="0" collapsed="false">
      <c r="A7" s="98" t="n">
        <v>4</v>
      </c>
      <c r="B7" s="100" t="s">
        <v>241</v>
      </c>
      <c r="C7" s="99" t="s">
        <v>242</v>
      </c>
      <c r="D7" s="99" t="s">
        <v>243</v>
      </c>
      <c r="E7" s="101" t="s">
        <v>30</v>
      </c>
    </row>
    <row r="8" customFormat="false" ht="75" hidden="false" customHeight="true" outlineLevel="0" collapsed="false">
      <c r="A8" s="106" t="n">
        <v>5</v>
      </c>
      <c r="B8" s="108" t="s">
        <v>244</v>
      </c>
      <c r="C8" s="107" t="s">
        <v>245</v>
      </c>
      <c r="D8" s="107" t="s">
        <v>246</v>
      </c>
      <c r="E8" s="109" t="s">
        <v>247</v>
      </c>
    </row>
    <row r="9" customFormat="false" ht="75" hidden="false" customHeight="true" outlineLevel="0" collapsed="false">
      <c r="A9" s="112" t="n">
        <v>6</v>
      </c>
      <c r="B9" s="113" t="s">
        <v>248</v>
      </c>
      <c r="C9" s="114" t="s">
        <v>249</v>
      </c>
      <c r="D9" s="114" t="s">
        <v>250</v>
      </c>
      <c r="E9" s="115" t="s">
        <v>45</v>
      </c>
    </row>
  </sheetData>
  <mergeCells count="2">
    <mergeCell ref="A1:G1"/>
    <mergeCell ref="A2:G2"/>
  </mergeCells>
  <conditionalFormatting sqref="G4:G9">
    <cfRule type="cellIs" priority="2" operator="equal" aboveAverage="0" equalAverage="0" bottom="0" percent="0" rank="0" text="" dxfId="3">
      <formula>"Completed"</formula>
    </cfRule>
    <cfRule type="cellIs" priority="3" operator="equal" aboveAverage="0" equalAverage="0" bottom="0" percent="0" rank="0" text="" dxfId="4">
      <formula>"In Progress"</formula>
    </cfRule>
    <cfRule type="cellIs" priority="4" operator="equal" aboveAverage="0" equalAverage="0" bottom="0" percent="0" rank="0" text="" dxfId="7">
      <formula>"Claimed"</formula>
    </cfRule>
  </conditionalFormatting>
  <dataValidations count="1">
    <dataValidation allowBlank="true" errorStyle="stop" operator="between" showDropDown="false" showErrorMessage="false" showInputMessage="false" sqref="G4:G9" type="list">
      <formula1>"Available,Claimed,In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2026-05-28T08:01:33Z</dcterms:created>
  <dc:creator>openpyxl</dc:creator>
  <dc:description/>
  <dc:language>en-US</dc:language>
  <cp:lastModifiedBy/>
  <dcterms:modified xsi:type="dcterms:W3CDTF">2026-05-28T08:01:33Z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